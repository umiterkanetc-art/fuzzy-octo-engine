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 Listesi" sheetId="1" state="visible" r:id="rId1"/>
  </sheets>
  <definedNames>
    <definedName name="_xlnm._FilterDatabase" localSheetId="0" hidden="1">'İş Listesi'!$A$4:$G$42</definedName>
    <definedName name="_xlnm.Print_Titles" localSheetId="0">'İş Listesi'!$4:$4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TL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0000FF"/>
    </font>
    <font>
      <name val="Arial"/>
      <i val="1"/>
      <color rgb="00595959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9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B2" authorId="0" shapeId="0">
      <text>
        <t>KDV oranını buradan değiştirin; tüm satırlar otomatik güncellenir.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50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PPF / CAM FİLM İŞ LİSTESİ</t>
        </is>
      </c>
    </row>
    <row r="2">
      <c r="A2" s="2" t="inlineStr">
        <is>
          <t>KDV Oranı:</t>
        </is>
      </c>
      <c r="B2" s="3" t="n">
        <v>0.2</v>
      </c>
      <c r="C2" s="4" t="inlineStr">
        <is>
          <t>Mavi yazılı hücreleri düzenleyin (Plaka, Araç, İşlem, Fiyat). KDV ve toplamlar otomatik hesaplanır. Yeni satırı TOPLAM'ın üstüne ekleyin.</t>
        </is>
      </c>
    </row>
    <row r="4">
      <c r="A4" s="5" t="inlineStr">
        <is>
          <t>No</t>
        </is>
      </c>
      <c r="B4" s="5" t="inlineStr">
        <is>
          <t>Plaka</t>
        </is>
      </c>
      <c r="C4" s="5" t="inlineStr">
        <is>
          <t>Araç</t>
        </is>
      </c>
      <c r="D4" s="5" t="inlineStr">
        <is>
          <t>İşlem</t>
        </is>
      </c>
      <c r="E4" s="5" t="inlineStr">
        <is>
          <t>Fiyat</t>
        </is>
      </c>
      <c r="F4" s="5" t="inlineStr">
        <is>
          <t>KDV</t>
        </is>
      </c>
      <c r="G4" s="5" t="inlineStr">
        <is>
          <t>KDV Dahil</t>
        </is>
      </c>
    </row>
    <row r="5">
      <c r="A5" s="6" t="n">
        <v>1</v>
      </c>
      <c r="B5" s="7" t="inlineStr">
        <is>
          <t>75 46</t>
        </is>
      </c>
      <c r="C5" s="7" t="inlineStr">
        <is>
          <t>A3</t>
        </is>
      </c>
      <c r="D5" s="7" t="inlineStr">
        <is>
          <t>5 cam + seramik</t>
        </is>
      </c>
      <c r="E5" s="8" t="n">
        <v>4250</v>
      </c>
      <c r="F5" s="9">
        <f>E5*$B$2</f>
        <v/>
      </c>
      <c r="G5" s="9">
        <f>E5+F5</f>
        <v/>
      </c>
    </row>
    <row r="6">
      <c r="A6" s="6" t="n">
        <v>2</v>
      </c>
      <c r="B6" s="7" t="inlineStr">
        <is>
          <t>86 99</t>
        </is>
      </c>
      <c r="C6" s="7" t="inlineStr">
        <is>
          <t>T-Roc</t>
        </is>
      </c>
      <c r="D6" s="7" t="inlineStr">
        <is>
          <t>Kil</t>
        </is>
      </c>
      <c r="E6" s="8" t="n">
        <v>1000</v>
      </c>
      <c r="F6" s="9">
        <f>E6*$B$2</f>
        <v/>
      </c>
      <c r="G6" s="9">
        <f>E6+F6</f>
        <v/>
      </c>
    </row>
    <row r="7">
      <c r="A7" s="6" t="n">
        <v>3</v>
      </c>
      <c r="B7" s="7" t="inlineStr">
        <is>
          <t>09 02</t>
        </is>
      </c>
      <c r="C7" s="7" t="inlineStr">
        <is>
          <t>Taigo</t>
        </is>
      </c>
      <c r="D7" s="7" t="inlineStr">
        <is>
          <t>Kil 2.500 + pasta 1.500</t>
        </is>
      </c>
      <c r="E7" s="8" t="n">
        <v>4000</v>
      </c>
      <c r="F7" s="9">
        <f>E7*$B$2</f>
        <v/>
      </c>
      <c r="G7" s="9">
        <f>E7+F7</f>
        <v/>
      </c>
    </row>
    <row r="8">
      <c r="A8" s="6" t="n">
        <v>4</v>
      </c>
      <c r="B8" s="7" t="inlineStr">
        <is>
          <t>31 28</t>
        </is>
      </c>
      <c r="C8" s="7" t="inlineStr">
        <is>
          <t>Tiguan</t>
        </is>
      </c>
      <c r="D8" s="7" t="inlineStr">
        <is>
          <t>PPF kaplama, tamponsuz, ön cam + önü, 2 cam film</t>
        </is>
      </c>
      <c r="E8" s="8" t="n">
        <v>20200</v>
      </c>
      <c r="F8" s="9">
        <f>E8*$B$2</f>
        <v/>
      </c>
      <c r="G8" s="9">
        <f>E8+F8</f>
        <v/>
      </c>
    </row>
    <row r="9">
      <c r="A9" s="6" t="n">
        <v>5</v>
      </c>
      <c r="B9" s="7" t="inlineStr">
        <is>
          <t>64 96</t>
        </is>
      </c>
      <c r="C9" s="7" t="inlineStr">
        <is>
          <t>G8</t>
        </is>
      </c>
      <c r="D9" s="7" t="inlineStr">
        <is>
          <t>2 cam + kil + pasta + seramik</t>
        </is>
      </c>
      <c r="E9" s="8" t="n">
        <v>4750</v>
      </c>
      <c r="F9" s="9">
        <f>E9*$B$2</f>
        <v/>
      </c>
      <c r="G9" s="9">
        <f>E9+F9</f>
        <v/>
      </c>
    </row>
    <row r="10">
      <c r="A10" s="6" t="n">
        <v>6</v>
      </c>
      <c r="B10" s="7" t="inlineStr">
        <is>
          <t>99 43</t>
        </is>
      </c>
      <c r="C10" s="7" t="inlineStr">
        <is>
          <t>Transporter</t>
        </is>
      </c>
      <c r="D10" s="7" t="inlineStr">
        <is>
          <t>2 cam + kaput + çamurluk PPF</t>
        </is>
      </c>
      <c r="E10" s="8" t="n">
        <v>5000</v>
      </c>
      <c r="F10" s="9">
        <f>E10*$B$2</f>
        <v/>
      </c>
      <c r="G10" s="9">
        <f>E10+F10</f>
        <v/>
      </c>
    </row>
    <row r="11">
      <c r="A11" s="6" t="n">
        <v>7</v>
      </c>
      <c r="B11" s="7" t="inlineStr">
        <is>
          <t>25 16</t>
        </is>
      </c>
      <c r="C11" s="7" t="inlineStr">
        <is>
          <t>Tayron</t>
        </is>
      </c>
      <c r="D11" s="7" t="inlineStr">
        <is>
          <t>PPF kaplama, 2 cam film</t>
        </is>
      </c>
      <c r="E11" s="8" t="n">
        <v>21000</v>
      </c>
      <c r="F11" s="9">
        <f>E11*$B$2</f>
        <v/>
      </c>
      <c r="G11" s="9">
        <f>E11+F11</f>
        <v/>
      </c>
    </row>
    <row r="12">
      <c r="A12" s="6" t="n">
        <v>8</v>
      </c>
      <c r="B12" s="7" t="inlineStr">
        <is>
          <t>78 85</t>
        </is>
      </c>
      <c r="C12" s="7" t="inlineStr">
        <is>
          <t>Golf</t>
        </is>
      </c>
      <c r="D12" s="7" t="inlineStr">
        <is>
          <t>5 cam film + B. koruma</t>
        </is>
      </c>
      <c r="E12" s="8" t="n">
        <v>2750</v>
      </c>
      <c r="F12" s="9">
        <f>E12*$B$2</f>
        <v/>
      </c>
      <c r="G12" s="9">
        <f>E12+F12</f>
        <v/>
      </c>
    </row>
    <row r="13">
      <c r="A13" s="6" t="n">
        <v>9</v>
      </c>
      <c r="B13" s="7" t="inlineStr">
        <is>
          <t>11 ACY 309</t>
        </is>
      </c>
      <c r="C13" s="7" t="inlineStr">
        <is>
          <t>T-Roc</t>
        </is>
      </c>
      <c r="D13" s="7" t="inlineStr">
        <is>
          <t>Arka tampon PPF</t>
        </is>
      </c>
      <c r="E13" s="8" t="n">
        <v>3000</v>
      </c>
      <c r="F13" s="9">
        <f>E13*$B$2</f>
        <v/>
      </c>
      <c r="G13" s="9">
        <f>E13+F13</f>
        <v/>
      </c>
    </row>
    <row r="14">
      <c r="A14" s="6" t="n">
        <v>10</v>
      </c>
      <c r="B14" s="7" t="inlineStr">
        <is>
          <t>86 99</t>
        </is>
      </c>
      <c r="C14" s="7" t="inlineStr">
        <is>
          <t>T-Roc</t>
        </is>
      </c>
      <c r="D14" s="7" t="inlineStr">
        <is>
          <t>5 cam film</t>
        </is>
      </c>
      <c r="E14" s="8" t="n">
        <v>2000</v>
      </c>
      <c r="F14" s="9">
        <f>E14*$B$2</f>
        <v/>
      </c>
      <c r="G14" s="9">
        <f>E14+F14</f>
        <v/>
      </c>
    </row>
    <row r="15">
      <c r="A15" s="6" t="n">
        <v>11</v>
      </c>
      <c r="B15" s="7" t="inlineStr">
        <is>
          <t>25 22</t>
        </is>
      </c>
      <c r="C15" s="7" t="inlineStr">
        <is>
          <t>Tiguan</t>
        </is>
      </c>
      <c r="D15" s="7" t="inlineStr">
        <is>
          <t>PPF kaplama, tamponsuz</t>
        </is>
      </c>
      <c r="E15" s="8" t="n">
        <v>18000</v>
      </c>
      <c r="F15" s="9">
        <f>E15*$B$2</f>
        <v/>
      </c>
      <c r="G15" s="9">
        <f>E15+F15</f>
        <v/>
      </c>
    </row>
    <row r="16">
      <c r="A16" s="6" t="n">
        <v>12</v>
      </c>
      <c r="B16" s="7" t="inlineStr">
        <is>
          <t>23 07</t>
        </is>
      </c>
      <c r="C16" s="7" t="inlineStr">
        <is>
          <t>Superb</t>
        </is>
      </c>
      <c r="D16" s="7" t="inlineStr">
        <is>
          <t>PPF kaplama, tamponsuz, 5 cam film</t>
        </is>
      </c>
      <c r="E16" s="8" t="n">
        <v>20000</v>
      </c>
      <c r="F16" s="9">
        <f>E16*$B$2</f>
        <v/>
      </c>
      <c r="G16" s="9">
        <f>E16+F16</f>
        <v/>
      </c>
    </row>
    <row r="17">
      <c r="A17" s="6" t="n">
        <v>13</v>
      </c>
      <c r="B17" s="7" t="inlineStr">
        <is>
          <t>54 ANB 296</t>
        </is>
      </c>
      <c r="C17" s="7" t="inlineStr">
        <is>
          <t>Passat</t>
        </is>
      </c>
      <c r="D17" s="7" t="inlineStr">
        <is>
          <t>Kil + B. koruma VIP</t>
        </is>
      </c>
      <c r="E17" s="8" t="n">
        <v>2250</v>
      </c>
      <c r="F17" s="9">
        <f>E17*$B$2</f>
        <v/>
      </c>
      <c r="G17" s="9">
        <f>E17+F17</f>
        <v/>
      </c>
    </row>
    <row r="18">
      <c r="A18" s="6" t="n">
        <v>14</v>
      </c>
      <c r="B18" s="7" t="inlineStr">
        <is>
          <t>11 ACH 743</t>
        </is>
      </c>
      <c r="C18" s="7" t="inlineStr">
        <is>
          <t>Taigo</t>
        </is>
      </c>
      <c r="D18" s="7" t="inlineStr">
        <is>
          <t>Kil + B. koruma VIP</t>
        </is>
      </c>
      <c r="E18" s="8" t="n">
        <v>2250</v>
      </c>
      <c r="F18" s="9">
        <f>E18*$B$2</f>
        <v/>
      </c>
      <c r="G18" s="9">
        <f>E18+F18</f>
        <v/>
      </c>
    </row>
    <row r="19">
      <c r="A19" s="6" t="n">
        <v>15</v>
      </c>
      <c r="B19" s="7" t="inlineStr">
        <is>
          <t>34 21</t>
        </is>
      </c>
      <c r="C19" s="7" t="inlineStr">
        <is>
          <t>Superb</t>
        </is>
      </c>
      <c r="D19" s="7" t="inlineStr">
        <is>
          <t>5 cam film + ön cam film + B. koruma</t>
        </is>
      </c>
      <c r="E19" s="8" t="n">
        <v>3350</v>
      </c>
      <c r="F19" s="9">
        <f>E19*$B$2</f>
        <v/>
      </c>
      <c r="G19" s="9">
        <f>E19+F19</f>
        <v/>
      </c>
    </row>
    <row r="20">
      <c r="A20" s="6" t="n">
        <v>16</v>
      </c>
      <c r="B20" s="7" t="inlineStr">
        <is>
          <t>54 ANR 061</t>
        </is>
      </c>
      <c r="C20" s="7" t="inlineStr">
        <is>
          <t>Tayron</t>
        </is>
      </c>
      <c r="D20" s="7" t="inlineStr">
        <is>
          <t>İç döşek bagaj üstü PPF değişimi</t>
        </is>
      </c>
      <c r="E20" s="8" t="n">
        <v>1000</v>
      </c>
      <c r="F20" s="9">
        <f>E20*$B$2</f>
        <v/>
      </c>
      <c r="G20" s="9">
        <f>E20+F20</f>
        <v/>
      </c>
    </row>
    <row r="21">
      <c r="A21" s="6" t="n">
        <v>17</v>
      </c>
      <c r="B21" s="7" t="inlineStr">
        <is>
          <t>26 48</t>
        </is>
      </c>
      <c r="C21" s="7" t="inlineStr">
        <is>
          <t>Amarok</t>
        </is>
      </c>
      <c r="D21" s="7" t="inlineStr">
        <is>
          <t>2 cam film</t>
        </is>
      </c>
      <c r="E21" s="8" t="n">
        <v>1000</v>
      </c>
      <c r="F21" s="9">
        <f>E21*$B$2</f>
        <v/>
      </c>
      <c r="G21" s="9">
        <f>E21+F21</f>
        <v/>
      </c>
    </row>
    <row r="22">
      <c r="A22" s="6" t="n">
        <v>18</v>
      </c>
      <c r="B22" s="7" t="inlineStr">
        <is>
          <t>54 ANT 777</t>
        </is>
      </c>
      <c r="C22" s="7" t="inlineStr">
        <is>
          <t>T-Roc</t>
        </is>
      </c>
      <c r="D22" s="7" t="inlineStr">
        <is>
          <t>Pasta + cila + seramik + kaput PPF</t>
        </is>
      </c>
      <c r="E22" s="8" t="n">
        <v>7000</v>
      </c>
      <c r="F22" s="9">
        <f>E22*$B$2</f>
        <v/>
      </c>
      <c r="G22" s="9">
        <f>E22+F22</f>
        <v/>
      </c>
    </row>
    <row r="23">
      <c r="A23" s="6" t="n">
        <v>19</v>
      </c>
      <c r="B23" s="7" t="inlineStr">
        <is>
          <t>51 08</t>
        </is>
      </c>
      <c r="C23" s="7" t="inlineStr">
        <is>
          <t>Adit</t>
        </is>
      </c>
      <c r="D23" s="7" t="inlineStr">
        <is>
          <t>Kil</t>
        </is>
      </c>
      <c r="E23" s="8" t="n">
        <v>1000</v>
      </c>
      <c r="F23" s="9">
        <f>E23*$B$2</f>
        <v/>
      </c>
      <c r="G23" s="9">
        <f>E23+F23</f>
        <v/>
      </c>
    </row>
    <row r="24">
      <c r="A24" s="6" t="n">
        <v>20</v>
      </c>
      <c r="B24" s="7" t="inlineStr">
        <is>
          <t>21 92</t>
        </is>
      </c>
      <c r="C24" s="7" t="inlineStr">
        <is>
          <t>T-Roc</t>
        </is>
      </c>
      <c r="D24" s="7" t="inlineStr">
        <is>
          <t>Kil</t>
        </is>
      </c>
      <c r="E24" s="8" t="n">
        <v>1000</v>
      </c>
      <c r="F24" s="9">
        <f>E24*$B$2</f>
        <v/>
      </c>
      <c r="G24" s="9">
        <f>E24+F24</f>
        <v/>
      </c>
    </row>
    <row r="25">
      <c r="A25" s="6" t="n">
        <v>21</v>
      </c>
      <c r="B25" s="7" t="inlineStr">
        <is>
          <t>66 44</t>
        </is>
      </c>
      <c r="C25" s="7" t="inlineStr">
        <is>
          <t>Tayron</t>
        </is>
      </c>
      <c r="D25" s="7" t="inlineStr">
        <is>
          <t>Kil</t>
        </is>
      </c>
      <c r="E25" s="8" t="n">
        <v>1000</v>
      </c>
      <c r="F25" s="9">
        <f>E25*$B$2</f>
        <v/>
      </c>
      <c r="G25" s="9">
        <f>E25+F25</f>
        <v/>
      </c>
    </row>
    <row r="26">
      <c r="A26" s="6" t="n">
        <v>22</v>
      </c>
      <c r="B26" s="7" t="inlineStr">
        <is>
          <t>51 08</t>
        </is>
      </c>
      <c r="C26" s="7" t="inlineStr">
        <is>
          <t>Adit</t>
        </is>
      </c>
      <c r="D26" s="7" t="inlineStr">
        <is>
          <t>Ön iki cam + kaput + çamurluk + tampon PPF</t>
        </is>
      </c>
      <c r="E26" s="8" t="n">
        <v>8000</v>
      </c>
      <c r="F26" s="9">
        <f>E26*$B$2</f>
        <v/>
      </c>
      <c r="G26" s="9">
        <f>E26+F26</f>
        <v/>
      </c>
    </row>
    <row r="27">
      <c r="A27" s="6" t="n">
        <v>23</v>
      </c>
      <c r="B27" s="7" t="inlineStr">
        <is>
          <t>51 08</t>
        </is>
      </c>
      <c r="C27" s="7" t="inlineStr">
        <is>
          <t>Elroq</t>
        </is>
      </c>
      <c r="D27" s="7" t="inlineStr">
        <is>
          <t>Ön iki cam + kaput PPF</t>
        </is>
      </c>
      <c r="E27" s="8" t="n">
        <v>3000</v>
      </c>
      <c r="F27" s="9">
        <f>E27*$B$2</f>
        <v/>
      </c>
      <c r="G27" s="9">
        <f>E27+F27</f>
        <v/>
      </c>
    </row>
    <row r="28">
      <c r="A28" s="6" t="n">
        <v>24</v>
      </c>
      <c r="B28" s="7" t="inlineStr">
        <is>
          <t>61 14</t>
        </is>
      </c>
      <c r="C28" s="7" t="inlineStr">
        <is>
          <t>Tayron</t>
        </is>
      </c>
      <c r="D28" s="7" t="inlineStr">
        <is>
          <t>PPF kaplama, 5 cam film</t>
        </is>
      </c>
      <c r="E28" s="8" t="n">
        <v>22000</v>
      </c>
      <c r="F28" s="9">
        <f>E28*$B$2</f>
        <v/>
      </c>
      <c r="G28" s="9">
        <f>E28+F28</f>
        <v/>
      </c>
    </row>
    <row r="29">
      <c r="A29" s="6" t="n">
        <v>25</v>
      </c>
      <c r="B29" s="7" t="inlineStr">
        <is>
          <t>61 22</t>
        </is>
      </c>
      <c r="C29" s="7" t="inlineStr">
        <is>
          <t>T-Roc</t>
        </is>
      </c>
      <c r="D29" s="7" t="inlineStr">
        <is>
          <t>Kil</t>
        </is>
      </c>
      <c r="E29" s="8" t="n">
        <v>1000</v>
      </c>
      <c r="F29" s="9">
        <f>E29*$B$2</f>
        <v/>
      </c>
      <c r="G29" s="9">
        <f>E29+F29</f>
        <v/>
      </c>
    </row>
    <row r="30">
      <c r="A30" s="6" t="n">
        <v>26</v>
      </c>
      <c r="B30" s="7" t="inlineStr">
        <is>
          <t>50 21</t>
        </is>
      </c>
      <c r="C30" s="7" t="inlineStr">
        <is>
          <t>T-Roc</t>
        </is>
      </c>
      <c r="D30" s="7" t="inlineStr">
        <is>
          <t>Kil</t>
        </is>
      </c>
      <c r="E30" s="8" t="n">
        <v>1000</v>
      </c>
      <c r="F30" s="9">
        <f>E30*$B$2</f>
        <v/>
      </c>
      <c r="G30" s="9">
        <f>E30+F30</f>
        <v/>
      </c>
    </row>
    <row r="31">
      <c r="A31" s="6" t="n">
        <v>27</v>
      </c>
      <c r="B31" s="7" t="inlineStr">
        <is>
          <t>75 22</t>
        </is>
      </c>
      <c r="C31" s="7" t="inlineStr">
        <is>
          <t>Tiguan</t>
        </is>
      </c>
      <c r="D31" s="7" t="inlineStr">
        <is>
          <t>5 cam film</t>
        </is>
      </c>
      <c r="E31" s="8" t="n">
        <v>2000</v>
      </c>
      <c r="F31" s="9">
        <f>E31*$B$2</f>
        <v/>
      </c>
      <c r="G31" s="9">
        <f>E31+F31</f>
        <v/>
      </c>
    </row>
    <row r="32">
      <c r="A32" s="6" t="n">
        <v>28</v>
      </c>
      <c r="B32" s="7" t="inlineStr">
        <is>
          <t>54 APM 625</t>
        </is>
      </c>
      <c r="C32" s="7" t="inlineStr">
        <is>
          <t>Superb</t>
        </is>
      </c>
      <c r="D32" s="7" t="inlineStr">
        <is>
          <t>Sağ arka çamurluk PPF değişimi</t>
        </is>
      </c>
      <c r="E32" s="8" t="n">
        <v>2000</v>
      </c>
      <c r="F32" s="9">
        <f>E32*$B$2</f>
        <v/>
      </c>
      <c r="G32" s="9">
        <f>E32+F32</f>
        <v/>
      </c>
    </row>
    <row r="33">
      <c r="A33" s="6" t="n">
        <v>29</v>
      </c>
      <c r="B33" s="7" t="inlineStr">
        <is>
          <t>49 94</t>
        </is>
      </c>
      <c r="C33" s="7" t="inlineStr">
        <is>
          <t>Tayron</t>
        </is>
      </c>
      <c r="D33" s="7" t="inlineStr">
        <is>
          <t>5 cam B. koruma</t>
        </is>
      </c>
      <c r="E33" s="8" t="n">
        <v>2750</v>
      </c>
      <c r="F33" s="9">
        <f>E33*$B$2</f>
        <v/>
      </c>
      <c r="G33" s="9">
        <f>E33+F33</f>
        <v/>
      </c>
    </row>
    <row r="34">
      <c r="A34" s="6" t="n">
        <v>30</v>
      </c>
      <c r="B34" s="7" t="inlineStr">
        <is>
          <t>50 91</t>
        </is>
      </c>
      <c r="C34" s="7" t="inlineStr">
        <is>
          <t>Adit</t>
        </is>
      </c>
      <c r="D34" s="7" t="inlineStr">
        <is>
          <t>Kaput + çamurluk PPF, 2 cam kil + pasta + seramik</t>
        </is>
      </c>
      <c r="E34" s="8" t="n">
        <v>8750</v>
      </c>
      <c r="F34" s="9">
        <f>E34*$B$2</f>
        <v/>
      </c>
      <c r="G34" s="9">
        <f>E34+F34</f>
        <v/>
      </c>
    </row>
    <row r="35">
      <c r="A35" s="6" t="n">
        <v>31</v>
      </c>
      <c r="B35" s="7" t="inlineStr">
        <is>
          <t>06 BZG 106</t>
        </is>
      </c>
      <c r="C35" s="7" t="inlineStr">
        <is>
          <t>Kamiq</t>
        </is>
      </c>
      <c r="D35" s="7" t="inlineStr">
        <is>
          <t>PPF kaplama, tamponsuz</t>
        </is>
      </c>
      <c r="E35" s="8" t="n">
        <v>18000</v>
      </c>
      <c r="F35" s="9">
        <f>E35*$B$2</f>
        <v/>
      </c>
      <c r="G35" s="9">
        <f>E35+F35</f>
        <v/>
      </c>
    </row>
    <row r="36">
      <c r="A36" s="6" t="n">
        <v>32</v>
      </c>
      <c r="B36" s="7" t="inlineStr">
        <is>
          <t>12 55</t>
        </is>
      </c>
      <c r="C36" s="7" t="inlineStr">
        <is>
          <t>A3</t>
        </is>
      </c>
      <c r="D36" s="7" t="inlineStr">
        <is>
          <t>5 cam film</t>
        </is>
      </c>
      <c r="E36" s="8" t="n">
        <v>2000</v>
      </c>
      <c r="F36" s="9">
        <f>E36*$B$2</f>
        <v/>
      </c>
      <c r="G36" s="9">
        <f>E36+F36</f>
        <v/>
      </c>
    </row>
    <row r="37">
      <c r="A37" s="6" t="n">
        <v>33</v>
      </c>
      <c r="B37" s="7" t="inlineStr">
        <is>
          <t>54 AFV 181</t>
        </is>
      </c>
      <c r="C37" s="7" t="inlineStr">
        <is>
          <t>Polo</t>
        </is>
      </c>
      <c r="D37" s="7" t="inlineStr">
        <is>
          <t>Kil + B. koruma VIP</t>
        </is>
      </c>
      <c r="E37" s="8" t="n">
        <v>2250</v>
      </c>
      <c r="F37" s="9">
        <f>E37*$B$2</f>
        <v/>
      </c>
      <c r="G37" s="9">
        <f>E37+F37</f>
        <v/>
      </c>
    </row>
    <row r="38">
      <c r="A38" s="6" t="n">
        <v>34</v>
      </c>
      <c r="B38" s="7" t="inlineStr">
        <is>
          <t>13 69</t>
        </is>
      </c>
      <c r="C38" s="7" t="inlineStr">
        <is>
          <t>Caddy</t>
        </is>
      </c>
      <c r="D38" s="7" t="inlineStr">
        <is>
          <t>2 cam + tavan film</t>
        </is>
      </c>
      <c r="E38" s="8" t="n">
        <v>2500</v>
      </c>
      <c r="F38" s="9">
        <f>E38*$B$2</f>
        <v/>
      </c>
      <c r="G38" s="9">
        <f>E38+F38</f>
        <v/>
      </c>
    </row>
    <row r="39">
      <c r="A39" s="6" t="n">
        <v>35</v>
      </c>
      <c r="B39" s="7" t="inlineStr">
        <is>
          <t>10 566</t>
        </is>
      </c>
      <c r="C39" s="7" t="inlineStr">
        <is>
          <t>Caddy</t>
        </is>
      </c>
      <c r="D39" s="7" t="inlineStr">
        <is>
          <t>2 cam + tavan film</t>
        </is>
      </c>
      <c r="E39" s="8" t="n">
        <v>2500</v>
      </c>
      <c r="F39" s="9">
        <f>E39*$B$2</f>
        <v/>
      </c>
      <c r="G39" s="9">
        <f>E39+F39</f>
        <v/>
      </c>
    </row>
    <row r="40">
      <c r="A40" s="6" t="n">
        <v>36</v>
      </c>
      <c r="B40" s="7" t="inlineStr">
        <is>
          <t>54 H 3893</t>
        </is>
      </c>
      <c r="C40" s="7" t="inlineStr">
        <is>
          <t>Caddy</t>
        </is>
      </c>
      <c r="D40" s="7" t="inlineStr">
        <is>
          <t>Kil + B. koruma VIP</t>
        </is>
      </c>
      <c r="E40" s="8" t="n">
        <v>2250</v>
      </c>
      <c r="F40" s="9">
        <f>E40*$B$2</f>
        <v/>
      </c>
      <c r="G40" s="9">
        <f>E40+F40</f>
        <v/>
      </c>
    </row>
    <row r="41">
      <c r="A41" s="6" t="n">
        <v>37</v>
      </c>
      <c r="B41" s="7" t="inlineStr">
        <is>
          <t>54 APS 843</t>
        </is>
      </c>
      <c r="C41" s="7" t="inlineStr">
        <is>
          <t>G3</t>
        </is>
      </c>
      <c r="D41" s="7" t="inlineStr">
        <is>
          <t>5 cam film</t>
        </is>
      </c>
      <c r="E41" s="8" t="n">
        <v>2000</v>
      </c>
      <c r="F41" s="9">
        <f>E41*$B$2</f>
        <v/>
      </c>
      <c r="G41" s="9">
        <f>E41+F41</f>
        <v/>
      </c>
    </row>
    <row r="42">
      <c r="A42" s="6" t="n">
        <v>38</v>
      </c>
      <c r="B42" s="7" t="n"/>
      <c r="C42" s="7" t="n"/>
      <c r="D42" s="7" t="inlineStr">
        <is>
          <t>Trim – 6 adet</t>
        </is>
      </c>
      <c r="E42" s="8" t="n">
        <v>6000</v>
      </c>
      <c r="F42" s="9">
        <f>E42*$B$2</f>
        <v/>
      </c>
      <c r="G42" s="9">
        <f>E42+F42</f>
        <v/>
      </c>
    </row>
    <row r="43">
      <c r="A43" s="10" t="n"/>
      <c r="B43" s="10" t="n"/>
      <c r="C43" s="10" t="n"/>
      <c r="D43" s="10" t="inlineStr">
        <is>
          <t>TOPLAM</t>
        </is>
      </c>
      <c r="E43" s="11">
        <f>SUM(E5:E42)</f>
        <v/>
      </c>
      <c r="F43" s="11">
        <f>SUM(F5:F42)</f>
        <v/>
      </c>
      <c r="G43" s="11">
        <f>SUM(G5:G42)</f>
        <v/>
      </c>
    </row>
  </sheetData>
  <autoFilter ref="A4:G42"/>
  <mergeCells count="1">
    <mergeCell ref="A1:G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2026-10-05T08:36:32Z</dcterms:created>
  <dcterms:modified xsi:type="dcterms:W3CDTF">2026-10-05T08:36:32Z</dcterms:modified>
</cp:coreProperties>
</file>